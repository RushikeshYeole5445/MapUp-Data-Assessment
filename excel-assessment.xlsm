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kit\Downloads\MapUp-Data-Assessment-main\MapUp-Data-Assessment-main\"/>
    </mc:Choice>
  </mc:AlternateContent>
  <xr:revisionPtr revIDLastSave="0" documentId="13_ncr:1_{5EFF6DA2-ECE7-45FA-A786-CDB5CE3ACCFD}" xr6:coauthVersionLast="40" xr6:coauthVersionMax="47" xr10:uidLastSave="{00000000-0000-0000-0000-000000000000}"/>
  <bookViews>
    <workbookView xWindow="0" yWindow="504" windowWidth="29400" windowHeight="1629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2" i="19" l="1"/>
  <c r="D12" i="19"/>
  <c r="D13" i="19"/>
  <c r="D14" i="19"/>
  <c r="D15" i="19"/>
  <c r="D16" i="19"/>
  <c r="D17" i="19"/>
  <c r="D18" i="19"/>
  <c r="D19" i="19"/>
  <c r="D20" i="19"/>
  <c r="D21" i="19"/>
  <c r="C23" i="20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B17" i="16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sharedStrings.xml><?xml version="1.0" encoding="utf-8"?>
<sst xmlns="http://schemas.openxmlformats.org/spreadsheetml/2006/main" count="324" uniqueCount="179">
  <si>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</si>
  <si>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</si>
  <si>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</si>
  <si>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</si>
  <si>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</si>
  <si>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</si>
  <si>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</si>
  <si>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</si>
  <si>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</si>
  <si>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</si>
  <si>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</si>
  <si>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</si>
  <si>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</si>
  <si>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</si>
  <si>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</si>
  <si>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</si>
  <si>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</si>
  <si>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</si>
  <si>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</si>
  <si>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</si>
  <si>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</si>
  <si>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</si>
  <si>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</si>
  <si>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</si>
  <si>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</si>
  <si>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</si>
  <si>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</si>
  <si>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</si>
  <si>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</si>
  <si>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</si>
  <si>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</si>
  <si>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</si>
  <si>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</si>
  <si>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</si>
  <si>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</si>
  <si>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</si>
  <si>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</si>
  <si>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</si>
  <si>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</si>
  <si>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</si>
  <si>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</si>
  <si>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</si>
  <si>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</si>
  <si>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</si>
  <si>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</si>
  <si>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</si>
  <si>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</si>
  <si>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</si>
  <si>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</si>
  <si>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</si>
  <si>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</si>
  <si>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</si>
  <si>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</si>
  <si>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</si>
  <si>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</si>
  <si>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</si>
  <si>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</si>
  <si>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</si>
  <si>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</si>
  <si>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</si>
  <si>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</si>
  <si>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</si>
  <si>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</si>
  <si>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</si>
  <si>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</si>
  <si>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</si>
  <si>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</si>
  <si>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</si>
  <si>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</si>
  <si>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</si>
  <si>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</si>
  <si>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</si>
  <si>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</si>
  <si>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</si>
  <si>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</si>
  <si>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</si>
  <si>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</si>
  <si>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</si>
  <si>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</si>
  <si>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</si>
  <si>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</si>
  <si>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</si>
  <si>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</si>
  <si>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</si>
  <si>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</si>
  <si>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</si>
  <si>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</si>
  <si>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</si>
  <si>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</si>
  <si>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</si>
  <si>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</si>
  <si>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</si>
  <si>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</si>
  <si>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</si>
  <si>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</si>
  <si>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</si>
  <si>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</si>
  <si>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</si>
  <si>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</si>
  <si>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</si>
  <si>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</si>
  <si>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</si>
  <si>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</si>
  <si>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</si>
  <si>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</si>
  <si>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</si>
  <si>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</si>
  <si>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</si>
  <si>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</si>
  <si>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</si>
  <si>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</si>
  <si>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</si>
  <si>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</si>
  <si>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</si>
  <si>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</si>
  <si>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</si>
  <si>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</si>
  <si>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</si>
  <si>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</si>
  <si>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</si>
  <si>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</si>
  <si>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</si>
  <si>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</si>
  <si>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</si>
  <si>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</si>
  <si>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</si>
  <si>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</si>
  <si>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</si>
  <si>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</si>
  <si>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</si>
  <si>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</si>
  <si>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</si>
  <si>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</si>
  <si>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</si>
  <si>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</si>
  <si>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</si>
  <si>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</si>
  <si>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</si>
  <si>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</si>
  <si>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</si>
  <si>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</si>
  <si>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</si>
  <si>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</si>
  <si>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</si>
  <si>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</si>
  <si>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</si>
  <si>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</si>
  <si>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</si>
  <si>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</si>
  <si>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</si>
  <si>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</si>
  <si>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</si>
  <si>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</si>
  <si>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</si>
  <si>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</si>
  <si>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</si>
  <si>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</si>
  <si>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</si>
  <si>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</si>
  <si>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</si>
  <si>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</si>
  <si>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</si>
  <si>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</si>
  <si>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</si>
  <si>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</si>
  <si>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</si>
  <si>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</si>
  <si>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</si>
  <si>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</si>
  <si>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</si>
  <si>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</si>
  <si>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</si>
  <si>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</si>
  <si>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</si>
  <si>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</si>
  <si>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</si>
  <si>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</si>
  <si>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</si>
  <si>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New_sales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</si>
</sst>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4" t="s">
        <v>172</v>
      </c>
      <c r="B9" s="25" t="s">
        <v>170</v>
      </c>
    </row>
    <row r="10" spans="1:3" x14ac:dyDescent="0.3">
      <c r="A10" s="33" t="s">
        <v>173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N1" zoomScaleNormal="100" workbookViewId="0">
      <pane ySplit="1" topLeftCell="A2" activePane="bottomLeft" state="frozen"/>
      <selection pane="bottomLeft" activeCell="A2" sqref="A2:R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FD1048576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" sqref="B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2" zoomScale="111" zoomScaleNormal="100" workbookViewId="0">
      <selection activeCell="G28" sqref="G28:G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165</v>
      </c>
    </row>
    <row r="2" spans="1:7" s="39" customFormat="1" ht="21" x14ac:dyDescent="0.4">
      <c r="B2" s="39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VLOOKUP(Task_2!A6,Dataset!A:G,7,0)</f>
        <v>2.7</v>
      </c>
      <c r="C6" s="11">
        <f>VLOOKUP(A6,Dataset!A:N,14,0)</f>
        <v>7.6</v>
      </c>
      <c r="D6" s="11">
        <f>VLOOKUP(A6,Dataset!A:Q,17,0)</f>
        <v>3.6</v>
      </c>
      <c r="E6" s="11">
        <f>VLOOKUP(A6,Dataset!A:T,20,0)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11">
        <f>VLOOKUP(Task_2!A7,Dataset!A:G,7,0)</f>
        <v>2.7</v>
      </c>
      <c r="C7" s="11">
        <f>VLOOKUP(A7,Dataset!A:N,14,0)</f>
        <v>7.6</v>
      </c>
      <c r="D7" s="11">
        <f>VLOOKUP(A7,Dataset!A:Q,17,0)</f>
        <v>3.6</v>
      </c>
      <c r="E7" s="11">
        <f>VLOOKUP(A7,Dataset!A:T,20,0)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11">
        <f>VLOOKUP(Task_2!A8,Dataset!A:G,7,0)</f>
        <v>3.6</v>
      </c>
      <c r="C8" s="11">
        <f>VLOOKUP(A8,Dataset!A:N,14,0)</f>
        <v>11.1</v>
      </c>
      <c r="D8" s="11">
        <f>VLOOKUP(A8,Dataset!A:Q,17,0)</f>
        <v>5.4</v>
      </c>
      <c r="E8" s="11">
        <f>VLOOKUP(A8,Dataset!A:T,20,0)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11">
        <f>VLOOKUP(Task_2!A9,Dataset!A:G,7,0)</f>
        <v>4.9000000000000004</v>
      </c>
      <c r="C9" s="11">
        <f>VLOOKUP(A9,Dataset!A:N,14,0)</f>
        <v>13.3</v>
      </c>
      <c r="D9" s="11">
        <f>VLOOKUP(A9,Dataset!A:Q,17,0)</f>
        <v>6.6</v>
      </c>
      <c r="E9" s="11">
        <f>VLOOKUP(A9,Dataset!A:T,20,0)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11">
        <f>VLOOKUP(Task_2!A10,Dataset!A:G,7,0)</f>
        <v>9.4</v>
      </c>
      <c r="C10" s="11">
        <f>VLOOKUP(A10,Dataset!A:N,14,0)</f>
        <v>28.3</v>
      </c>
      <c r="D10" s="11">
        <f>VLOOKUP(A10,Dataset!A:Q,17,0)</f>
        <v>13.8</v>
      </c>
      <c r="E10" s="11">
        <f>VLOOKUP(A10,Dataset!A:T,20,0)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1">
        <f>VLOOKUP(Task_2!A11,Dataset!A:G,7,0)</f>
        <v>11.6</v>
      </c>
      <c r="C11" s="11">
        <f>VLOOKUP(A11,Dataset!A:N,14,0)</f>
        <v>35.200000000000003</v>
      </c>
      <c r="D11" s="11">
        <f>VLOOKUP(A11,Dataset!A:Q,17,0)</f>
        <v>17.3</v>
      </c>
      <c r="E11" s="11">
        <f>VLOOKUP(A11,Dataset!A:T,20,0)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11">
        <f>VLOOKUP(Task_2!A12,Dataset!A:G,7,0)</f>
        <v>18.399999999999999</v>
      </c>
      <c r="C12" s="11">
        <f>VLOOKUP(A12,Dataset!A:N,14,0)</f>
        <v>55.6</v>
      </c>
      <c r="D12" s="11">
        <f>VLOOKUP(A12,Dataset!A:Q,17,0)</f>
        <v>27.5</v>
      </c>
      <c r="E12" s="11">
        <f>VLOOKUP(A12,Dataset!A:T,20,0)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1">
        <f>VLOOKUP(Task_2!A13,Dataset!A:G,7,0)</f>
        <v>0</v>
      </c>
      <c r="C13" s="11">
        <f>VLOOKUP(A13,Dataset!A:N,14,0)</f>
        <v>0</v>
      </c>
      <c r="D13" s="11">
        <f>VLOOKUP(A13,Dataset!A:Q,17,0)</f>
        <v>0</v>
      </c>
      <c r="E13" s="11">
        <f>VLOOKUP(A13,Dataset!A:T,20,0)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1">
        <f>VLOOKUP(Task_2!A14,Dataset!A:G,7,0)</f>
        <v>21.9</v>
      </c>
      <c r="C14" s="11">
        <f>VLOOKUP(A14,Dataset!A:N,14,0)</f>
        <v>61.5</v>
      </c>
      <c r="D14" s="11">
        <f>VLOOKUP(A14,Dataset!A:Q,17,0)</f>
        <v>32.1</v>
      </c>
      <c r="E14" s="11">
        <f>VLOOKUP(A14,Dataset!A:T,20,0)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11">
        <f>VLOOKUP(Task_2!A15,Dataset!A:G,7,0)</f>
        <v>26.8</v>
      </c>
      <c r="C15" s="11">
        <f>VLOOKUP(A15,Dataset!A:N,14,0)</f>
        <v>79.599999999999994</v>
      </c>
      <c r="D15" s="11">
        <f>VLOOKUP(A15,Dataset!A:Q,17,0)</f>
        <v>39.299999999999997</v>
      </c>
      <c r="E15" s="11">
        <f>VLOOKUP(A15,Dataset!A:T,20,0)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11">
        <f>VLOOKUP(Task_2!A16,Dataset!A:G,7,0)</f>
        <v>28.5</v>
      </c>
      <c r="C16" s="11">
        <f>VLOOKUP(A16,Dataset!A:N,14,0)</f>
        <v>85.4</v>
      </c>
      <c r="D16" s="11">
        <f>VLOOKUP(A16,Dataset!A:Q,17,0)</f>
        <v>42.3</v>
      </c>
      <c r="E16" s="11">
        <f>VLOOKUP(A16,Dataset!A:T,20,0)</f>
        <v>106.1</v>
      </c>
      <c r="F16" s="8">
        <f>VLOOKUP(A16,Dataset!A:V,22,0)</f>
        <v>52.3</v>
      </c>
    </row>
    <row r="17" spans="1:7" ht="14.4" x14ac:dyDescent="0.3">
      <c r="A17" s="7" t="s">
        <v>22</v>
      </c>
      <c r="B17" s="11">
        <f>VLOOKUP(Task_2!A17,Dataset!A:G,7,0)</f>
        <v>30.7</v>
      </c>
      <c r="C17" s="11">
        <f>VLOOKUP(A17,Dataset!A:N,14,0)</f>
        <v>92.1</v>
      </c>
      <c r="D17" s="11">
        <f>VLOOKUP(A17,Dataset!A:Q,17,0)</f>
        <v>45.5</v>
      </c>
      <c r="E17" s="11">
        <f>VLOOKUP(A17,Dataset!A:T,20,0)</f>
        <v>115.1</v>
      </c>
      <c r="F17" s="8">
        <f>VLOOKUP(A17,Dataset!A:V,22,0)</f>
        <v>57</v>
      </c>
    </row>
    <row r="18" spans="1:7" ht="14.4" x14ac:dyDescent="0.3">
      <c r="A18" s="7" t="s">
        <v>23</v>
      </c>
      <c r="B18" s="11">
        <f>VLOOKUP(Task_2!A18,Dataset!A:G,7,0)</f>
        <v>33.799999999999997</v>
      </c>
      <c r="C18" s="11">
        <f>VLOOKUP(A18,Dataset!A:N,14,0)</f>
        <v>101.3</v>
      </c>
      <c r="D18" s="11">
        <f>VLOOKUP(A18,Dataset!A:Q,17,0)</f>
        <v>50.1</v>
      </c>
      <c r="E18" s="11">
        <f>VLOOKUP(A18,Dataset!A:T,20,0)</f>
        <v>124.4</v>
      </c>
      <c r="F18" s="8">
        <f>VLOOKUP(A18,Dataset!A:V,22,0)</f>
        <v>61.4</v>
      </c>
    </row>
    <row r="19" spans="1:7" ht="14.4" x14ac:dyDescent="0.3">
      <c r="A19" s="7" t="s">
        <v>24</v>
      </c>
      <c r="B19" s="11">
        <f>VLOOKUP(Task_2!A19,Dataset!A:G,7,0)</f>
        <v>34.700000000000003</v>
      </c>
      <c r="C19" s="11">
        <f>VLOOKUP(A19,Dataset!A:N,14,0)</f>
        <v>106.1</v>
      </c>
      <c r="D19" s="11">
        <f>VLOOKUP(A19,Dataset!A:Q,17,0)</f>
        <v>52.3</v>
      </c>
      <c r="E19" s="11">
        <f>VLOOKUP(A19,Dataset!A:T,20,0)</f>
        <v>128.6</v>
      </c>
      <c r="F19" s="8">
        <f>VLOOKUP(A19,Dataset!A:V,22,0)</f>
        <v>63.6</v>
      </c>
    </row>
    <row r="20" spans="1:7" ht="14.4" x14ac:dyDescent="0.3">
      <c r="A20" s="7" t="s">
        <v>28</v>
      </c>
      <c r="B20" s="11">
        <f>VLOOKUP(Task_2!A20,Dataset!A:G,7,0)</f>
        <v>0</v>
      </c>
      <c r="C20" s="11">
        <f>VLOOKUP(A20,Dataset!A:N,14,0)</f>
        <v>0</v>
      </c>
      <c r="D20" s="11">
        <f>VLOOKUP(A20,Dataset!A:Q,17,0)</f>
        <v>0</v>
      </c>
      <c r="E20" s="11">
        <f>VLOOKUP(A20,Dataset!A:T,20,0)</f>
        <v>0</v>
      </c>
      <c r="F20" s="8">
        <f>VLOOKUP(A20,Dataset!A:V,22,0)</f>
        <v>0</v>
      </c>
    </row>
    <row r="21" spans="1:7" ht="14.4" x14ac:dyDescent="0.3">
      <c r="A21" s="7" t="s">
        <v>57</v>
      </c>
      <c r="B21" s="11">
        <f>VLOOKUP(Task_2!A21,Dataset!A:G,7,0)</f>
        <v>41.3</v>
      </c>
      <c r="C21" s="11">
        <f>VLOOKUP(A21,Dataset!A:N,14,0)</f>
        <v>124.4</v>
      </c>
      <c r="D21" s="11">
        <f>VLOOKUP(A21,Dataset!A:Q,17,0)</f>
        <v>61.4</v>
      </c>
      <c r="E21" s="11">
        <f>VLOOKUP(A21,Dataset!A:T,20,0)</f>
        <v>151.5</v>
      </c>
      <c r="F21" s="8">
        <f>VLOOKUP(A21,Dataset!A:V,22,0)</f>
        <v>75</v>
      </c>
    </row>
    <row r="22" spans="1:7" ht="14.4" x14ac:dyDescent="0.3">
      <c r="A22" s="7" t="s">
        <v>58</v>
      </c>
      <c r="B22" s="11">
        <f>VLOOKUP(Task_2!A22,Dataset!A:G,7,0)</f>
        <v>-1</v>
      </c>
      <c r="C22" s="11">
        <f>VLOOKUP(A22,Dataset!A:N,14,0)</f>
        <v>-1</v>
      </c>
      <c r="D22" s="11">
        <f>VLOOKUP(A22,Dataset!A:Q,17,0)</f>
        <v>-1</v>
      </c>
      <c r="E22" s="11">
        <f>VLOOKUP(A22,Dataset!A:T,20,0)</f>
        <v>-1</v>
      </c>
      <c r="F22" s="8">
        <f>VLOOKUP(A22,Dataset!A:V,22,0)</f>
        <v>-1</v>
      </c>
    </row>
    <row r="23" spans="1:7" ht="14.4" x14ac:dyDescent="0.3">
      <c r="A23" s="7" t="s">
        <v>31</v>
      </c>
      <c r="B23" s="11">
        <f>VLOOKUP(Task_2!A23,Dataset!A:G,7,0)</f>
        <v>45</v>
      </c>
      <c r="C23" s="11">
        <f>VLOOKUP(A23,Dataset!A:N,14,0)</f>
        <v>133.4</v>
      </c>
      <c r="D23" s="11">
        <f>VLOOKUP(A23,Dataset!A:Q,17,0)</f>
        <v>65.900000000000006</v>
      </c>
      <c r="E23" s="11">
        <f>VLOOKUP(A23,Dataset!A:T,20,0)</f>
        <v>160.9</v>
      </c>
      <c r="F23" s="8">
        <f>VLOOKUP(A23,Dataset!A:V,22,0)</f>
        <v>79.400000000000006</v>
      </c>
    </row>
    <row r="24" spans="1:7" ht="14.4" x14ac:dyDescent="0.3">
      <c r="A24" s="7" t="s">
        <v>32</v>
      </c>
      <c r="B24" s="11">
        <f>VLOOKUP(Task_2!A24,Dataset!A:G,7,0)</f>
        <v>-1</v>
      </c>
      <c r="C24" s="11">
        <f>VLOOKUP(A24,Dataset!A:N,14,0)</f>
        <v>-1</v>
      </c>
      <c r="D24" s="11">
        <f>VLOOKUP(A24,Dataset!A:Q,17,0)</f>
        <v>-1</v>
      </c>
      <c r="E24" s="11">
        <f>VLOOKUP(A24,Dataset!A:T,20,0)</f>
        <v>-1</v>
      </c>
      <c r="F24" s="8">
        <f>VLOOKUP(A24,Dataset!A:V,22,0)</f>
        <v>-1</v>
      </c>
    </row>
    <row r="25" spans="1:7" ht="14.4" x14ac:dyDescent="0.3">
      <c r="A25" s="7" t="s">
        <v>34</v>
      </c>
      <c r="B25" s="11">
        <f>VLOOKUP(Task_2!A25,Dataset!A:G,7,0)</f>
        <v>43.3</v>
      </c>
      <c r="C25" s="11">
        <f>VLOOKUP(A25,Dataset!A:N,14,0)</f>
        <v>128.6</v>
      </c>
      <c r="D25" s="11">
        <f>VLOOKUP(A25,Dataset!A:Q,17,0)</f>
        <v>63.6</v>
      </c>
      <c r="E25" s="11">
        <f>VLOOKUP(A25,Dataset!A:T,20,0)</f>
        <v>160.9</v>
      </c>
      <c r="F25" s="8">
        <f>VLOOKUP(A25,Dataset!A:V,22,0)</f>
        <v>79.400000000000006</v>
      </c>
    </row>
    <row r="26" spans="1:7" ht="14.4" x14ac:dyDescent="0.3">
      <c r="A26" s="7" t="s">
        <v>37</v>
      </c>
      <c r="B26" s="11">
        <f>VLOOKUP(Task_2!A26,Dataset!A:G,7,0)</f>
        <v>49.1</v>
      </c>
      <c r="C26" s="11">
        <f>VLOOKUP(A26,Dataset!A:N,14,0)</f>
        <v>146.80000000000001</v>
      </c>
      <c r="D26" s="11">
        <f>VLOOKUP(A26,Dataset!A:Q,17,0)</f>
        <v>72.8</v>
      </c>
      <c r="E26" s="11">
        <f>VLOOKUP(A26,Dataset!A:T,20,0)</f>
        <v>183.5</v>
      </c>
      <c r="F26" s="8">
        <f>VLOOKUP(A26,Dataset!A:V,22,0)</f>
        <v>90.9</v>
      </c>
    </row>
    <row r="27" spans="1:7" ht="14.4" x14ac:dyDescent="0.3">
      <c r="A27" s="7" t="s">
        <v>39</v>
      </c>
      <c r="B27" s="11">
        <f>VLOOKUP(Task_2!A27,Dataset!A:G,7,0)</f>
        <v>51.8</v>
      </c>
      <c r="C27" s="11">
        <f>VLOOKUP(A27,Dataset!A:N,14,0)</f>
        <v>156.4</v>
      </c>
      <c r="D27" s="11">
        <f>VLOOKUP(A27,Dataset!A:Q,17,0)</f>
        <v>77.2</v>
      </c>
      <c r="E27" s="11">
        <f>VLOOKUP(A27,Dataset!A:T,20,0)</f>
        <v>188.1</v>
      </c>
      <c r="F27" s="8">
        <f>VLOOKUP(A27,Dataset!A:V,22,0)</f>
        <v>93.1</v>
      </c>
    </row>
    <row r="28" spans="1:7" ht="14.4" x14ac:dyDescent="0.3">
      <c r="A28" s="18" t="s">
        <v>82</v>
      </c>
      <c r="B28" s="11">
        <f>MIN(B5:B27)</f>
        <v>-1</v>
      </c>
      <c r="C28" s="11">
        <f t="shared" ref="C28:G28" si="0">MIN(C5:C27)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  <c r="G28" s="11"/>
    </row>
    <row r="29" spans="1:7" ht="14.4" x14ac:dyDescent="0.3">
      <c r="A29" s="18" t="s">
        <v>83</v>
      </c>
      <c r="B29" s="11">
        <f>MAX(B6:B27)</f>
        <v>51.8</v>
      </c>
      <c r="C29" s="11">
        <f t="shared" ref="C29:G29" si="1">MAX(C6:C27)</f>
        <v>156.4</v>
      </c>
      <c r="D29" s="11">
        <f t="shared" si="1"/>
        <v>77.2</v>
      </c>
      <c r="E29" s="11">
        <f t="shared" si="1"/>
        <v>188.1</v>
      </c>
      <c r="F29" s="11">
        <f t="shared" si="1"/>
        <v>93.1</v>
      </c>
      <c r="G29" s="11"/>
    </row>
    <row r="30" spans="1:7" ht="14.4" x14ac:dyDescent="0.3">
      <c r="A30" s="18" t="s">
        <v>84</v>
      </c>
      <c r="B30" s="11">
        <f>AVERAGE(B6:B27)</f>
        <v>20.827272727272728</v>
      </c>
      <c r="C30" s="11">
        <f t="shared" ref="C30:G30" si="2">AVERAGE(C6:C27)</f>
        <v>62.377272727272725</v>
      </c>
      <c r="D30" s="11">
        <f t="shared" si="2"/>
        <v>30.831818181818186</v>
      </c>
      <c r="E30" s="11">
        <f t="shared" si="2"/>
        <v>76.418181818181822</v>
      </c>
      <c r="F30" s="11">
        <f t="shared" si="2"/>
        <v>37.800000000000004</v>
      </c>
      <c r="G3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1" zoomScaleNormal="100" workbookViewId="0">
      <selection activeCell="F16" sqref="F16:F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154</v>
      </c>
      <c r="B6" s="38"/>
    </row>
    <row r="7" spans="1:10" ht="18" x14ac:dyDescent="0.35">
      <c r="A7" s="41"/>
      <c r="B7" s="38"/>
    </row>
    <row r="9" spans="1:10" ht="23.4" x14ac:dyDescent="0.45">
      <c r="A9" s="17" t="s">
        <v>166</v>
      </c>
      <c r="I9" s="2"/>
      <c r="J9" s="2"/>
    </row>
    <row r="10" spans="1:10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">
      <c r="A17" s="7" t="s">
        <v>123</v>
      </c>
      <c r="B17" s="11" t="str">
        <f>LEFT(A17,5)</f>
        <v>20002</v>
      </c>
      <c r="C17" s="1" t="str">
        <f t="shared" ref="C17:C54" si="0">MID(A17,7,6)</f>
        <v>Monday</v>
      </c>
      <c r="D17" s="11" t="str">
        <f t="shared" ref="D17:D54" si="1">MID(A17,14,1)</f>
        <v>0</v>
      </c>
      <c r="E17" s="1" t="str">
        <f t="shared" ref="E17:E54" si="2">MID(A17,16,6)</f>
        <v>Sunday</v>
      </c>
      <c r="F17" s="11" t="str">
        <f t="shared" ref="F17:F54" si="3">RIGHT(A17,2)</f>
        <v>24</v>
      </c>
    </row>
    <row r="18" spans="1:6" x14ac:dyDescent="0.3">
      <c r="A18" s="7" t="s">
        <v>124</v>
      </c>
      <c r="B18" s="11" t="str">
        <f t="shared" ref="B18:B54" si="4">LEFT(A18,5)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3">
      <c r="A19" s="7" t="s">
        <v>125</v>
      </c>
      <c r="B19" s="1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3">
      <c r="A20" s="7" t="s">
        <v>126</v>
      </c>
      <c r="B20" s="1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3">
      <c r="A21" s="7" t="s">
        <v>127</v>
      </c>
      <c r="B21" s="1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3">
      <c r="A22" s="7" t="s">
        <v>128</v>
      </c>
      <c r="B22" s="1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3">
      <c r="A23" s="7" t="s">
        <v>129</v>
      </c>
      <c r="B23" s="1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3">
      <c r="A24" s="7" t="s">
        <v>130</v>
      </c>
      <c r="B24" s="1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3">
      <c r="A25" s="7" t="s">
        <v>131</v>
      </c>
      <c r="B25" s="1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3">
      <c r="A26" s="7" t="s">
        <v>132</v>
      </c>
      <c r="B26" s="1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3">
      <c r="A27" s="7" t="s">
        <v>133</v>
      </c>
      <c r="B27" s="1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3">
      <c r="A28" s="7" t="s">
        <v>134</v>
      </c>
      <c r="B28" s="1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3">
      <c r="A29" s="7" t="s">
        <v>135</v>
      </c>
      <c r="B29" s="1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3">
      <c r="A30" s="7" t="s">
        <v>136</v>
      </c>
      <c r="B30" s="1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3">
      <c r="A31" s="7" t="s">
        <v>137</v>
      </c>
      <c r="B31" s="1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3">
      <c r="A32" s="7" t="s">
        <v>138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3">
      <c r="A33" s="7" t="s">
        <v>139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3">
      <c r="A34" s="7" t="s">
        <v>140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3">
      <c r="A35" s="7" t="s">
        <v>141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3">
      <c r="A36" s="7" t="s">
        <v>142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3">
      <c r="A37" s="7" t="s">
        <v>143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3">
      <c r="A38" s="7" t="s">
        <v>144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3">
      <c r="A39" s="7" t="s">
        <v>145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3">
      <c r="A40" s="7" t="s">
        <v>146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3">
      <c r="A41" s="7" t="s">
        <v>147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3">
      <c r="A42" s="7" t="s">
        <v>148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3">
      <c r="A43" s="7" t="s">
        <v>149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3">
      <c r="A44" s="7" t="s">
        <v>150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3">
      <c r="A45" s="7" t="s">
        <v>151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3">
      <c r="A46" s="7" t="s">
        <v>113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3">
      <c r="A47" s="7" t="s">
        <v>114</v>
      </c>
      <c r="B47" s="1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3">
      <c r="A48" s="7" t="s">
        <v>115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3">
      <c r="A49" s="7" t="s">
        <v>116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3">
      <c r="A50" s="7" t="s">
        <v>117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3">
      <c r="A51" s="7" t="s">
        <v>118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3">
      <c r="A52" s="7" t="s">
        <v>119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3">
      <c r="A53" s="7" t="s">
        <v>120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3">
      <c r="A54" s="9" t="s">
        <v>121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F12" sqref="F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85</v>
      </c>
      <c r="B1" s="39" t="s">
        <v>168</v>
      </c>
    </row>
    <row r="2" spans="1:4" ht="18" x14ac:dyDescent="0.35">
      <c r="B2" s="38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154</v>
      </c>
      <c r="B7" s="1"/>
    </row>
    <row r="10" spans="1:4" ht="23.4" x14ac:dyDescent="0.45">
      <c r="A10" s="17" t="s">
        <v>163</v>
      </c>
    </row>
    <row r="11" spans="1:4" ht="14.4" x14ac:dyDescent="0.3">
      <c r="A11" s="30" t="s">
        <v>86</v>
      </c>
      <c r="B11" s="16" t="s">
        <v>87</v>
      </c>
      <c r="C11" s="16" t="s">
        <v>88</v>
      </c>
      <c r="D11" s="24" t="s">
        <v>178</v>
      </c>
    </row>
    <row r="12" spans="1:4" ht="14.4" x14ac:dyDescent="0.3">
      <c r="A12" s="30">
        <v>44927</v>
      </c>
      <c r="B12" s="16" t="s">
        <v>59</v>
      </c>
      <c r="C12" s="16">
        <v>200</v>
      </c>
      <c r="D12" s="24">
        <f>IF(ISERROR(C12), 20, C12)</f>
        <v>200</v>
      </c>
    </row>
    <row r="13" spans="1:4" ht="14.4" x14ac:dyDescent="0.3">
      <c r="A13" s="30">
        <v>44928</v>
      </c>
      <c r="B13" s="16" t="s">
        <v>60</v>
      </c>
      <c r="C13" s="16" t="e">
        <v>#N/A</v>
      </c>
      <c r="D13" s="24">
        <f>IF(ISERROR(C13), 20, C13)</f>
        <v>20</v>
      </c>
    </row>
    <row r="14" spans="1:4" ht="14.4" x14ac:dyDescent="0.3">
      <c r="A14" s="30">
        <v>44929</v>
      </c>
      <c r="B14" s="16" t="s">
        <v>61</v>
      </c>
      <c r="C14" s="16">
        <v>50</v>
      </c>
      <c r="D14" s="24">
        <f t="shared" ref="D13:D22" si="0">IF(ISERROR(C14), 20, C14)</f>
        <v>50</v>
      </c>
    </row>
    <row r="15" spans="1:4" ht="14.4" x14ac:dyDescent="0.3">
      <c r="A15" s="30">
        <v>44930</v>
      </c>
      <c r="B15" s="16" t="s">
        <v>62</v>
      </c>
      <c r="C15" s="16" t="e">
        <v>#N/A</v>
      </c>
      <c r="D15" s="24">
        <f t="shared" si="0"/>
        <v>20</v>
      </c>
    </row>
    <row r="16" spans="1:4" ht="14.4" x14ac:dyDescent="0.3">
      <c r="A16" s="30">
        <v>44931</v>
      </c>
      <c r="B16" s="16" t="s">
        <v>63</v>
      </c>
      <c r="C16" s="16">
        <v>10</v>
      </c>
      <c r="D16" s="24">
        <f t="shared" si="0"/>
        <v>10</v>
      </c>
    </row>
    <row r="17" spans="1:4" ht="14.4" x14ac:dyDescent="0.3">
      <c r="A17" s="30">
        <v>44932</v>
      </c>
      <c r="B17" s="16" t="s">
        <v>155</v>
      </c>
      <c r="C17" s="16">
        <v>150</v>
      </c>
      <c r="D17" s="24">
        <f t="shared" si="0"/>
        <v>150</v>
      </c>
    </row>
    <row r="18" spans="1:4" ht="14.4" x14ac:dyDescent="0.3">
      <c r="A18" s="30">
        <v>44933</v>
      </c>
      <c r="B18" s="16" t="s">
        <v>156</v>
      </c>
      <c r="C18" s="16">
        <v>80</v>
      </c>
      <c r="D18" s="24">
        <f t="shared" si="0"/>
        <v>80</v>
      </c>
    </row>
    <row r="19" spans="1:4" ht="14.4" x14ac:dyDescent="0.3">
      <c r="A19" s="30">
        <v>44934</v>
      </c>
      <c r="B19" s="16" t="s">
        <v>157</v>
      </c>
      <c r="C19" s="16" t="e">
        <v>#N/A</v>
      </c>
      <c r="D19" s="24">
        <f t="shared" si="0"/>
        <v>20</v>
      </c>
    </row>
    <row r="20" spans="1:4" ht="14.4" x14ac:dyDescent="0.3">
      <c r="A20" s="30">
        <v>44935</v>
      </c>
      <c r="B20" s="16" t="s">
        <v>158</v>
      </c>
      <c r="C20" s="16">
        <v>30</v>
      </c>
      <c r="D20" s="24">
        <f t="shared" si="0"/>
        <v>30</v>
      </c>
    </row>
    <row r="21" spans="1:4" ht="14.4" x14ac:dyDescent="0.3">
      <c r="A21" s="30">
        <v>44936</v>
      </c>
      <c r="B21" s="16" t="s">
        <v>159</v>
      </c>
      <c r="C21" s="16" t="e">
        <v>#N/A</v>
      </c>
      <c r="D21" s="24">
        <f t="shared" si="0"/>
        <v>20</v>
      </c>
    </row>
    <row r="22" spans="1:4" ht="14.4" x14ac:dyDescent="0.3">
      <c r="B22" s="16" t="s">
        <v>160</v>
      </c>
      <c r="C22" s="24"/>
      <c r="D22" s="2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176</v>
      </c>
    </row>
    <row r="3" spans="1:14" ht="14.4" x14ac:dyDescent="0.3">
      <c r="B3" s="1" t="s">
        <v>152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154</v>
      </c>
      <c r="B5" s="1"/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 t="e">
        <f>xl</f>
        <v>#NAME?</v>
      </c>
    </row>
    <row r="24" spans="1:14" ht="14.4" x14ac:dyDescent="0.3">
      <c r="A24" s="7">
        <v>10100</v>
      </c>
      <c r="B24" s="11">
        <v>10104</v>
      </c>
      <c r="C24" s="42"/>
    </row>
    <row r="25" spans="1:14" ht="14.4" x14ac:dyDescent="0.3">
      <c r="A25" s="7">
        <v>10108</v>
      </c>
      <c r="B25" s="11">
        <v>10102</v>
      </c>
      <c r="C25" s="42"/>
    </row>
    <row r="26" spans="1:14" ht="14.4" x14ac:dyDescent="0.3">
      <c r="A26" s="7">
        <v>10100</v>
      </c>
      <c r="B26" s="11">
        <v>10106</v>
      </c>
      <c r="C26" s="42"/>
    </row>
    <row r="27" spans="1:14" ht="14.4" x14ac:dyDescent="0.3">
      <c r="A27" s="7">
        <v>10108</v>
      </c>
      <c r="B27" s="11">
        <v>10110</v>
      </c>
      <c r="C27" s="42"/>
    </row>
    <row r="28" spans="1:14" ht="14.4" x14ac:dyDescent="0.3">
      <c r="A28" s="7">
        <v>10102</v>
      </c>
      <c r="B28" s="11">
        <v>10104</v>
      </c>
      <c r="C28" s="42"/>
    </row>
    <row r="29" spans="1:14" ht="14.4" x14ac:dyDescent="0.3">
      <c r="A29" s="7">
        <v>10106</v>
      </c>
      <c r="B29" s="11">
        <v>10108</v>
      </c>
      <c r="C29" s="42"/>
    </row>
    <row r="30" spans="1:14" ht="14.4" x14ac:dyDescent="0.3">
      <c r="A30" s="7">
        <v>10102</v>
      </c>
      <c r="B30" s="11">
        <v>10106</v>
      </c>
      <c r="C30" s="42"/>
    </row>
    <row r="31" spans="1:14" ht="14.4" x14ac:dyDescent="0.3">
      <c r="A31" s="7">
        <v>10110</v>
      </c>
      <c r="B31" s="11">
        <v>10114</v>
      </c>
      <c r="C31" s="42"/>
    </row>
    <row r="32" spans="1:14" ht="14.4" x14ac:dyDescent="0.3">
      <c r="A32" s="7">
        <v>10104</v>
      </c>
      <c r="B32" s="11">
        <v>10106</v>
      </c>
      <c r="C32" s="42"/>
    </row>
    <row r="33" spans="1:3" ht="14.4" x14ac:dyDescent="0.3">
      <c r="A33" s="7">
        <v>10110</v>
      </c>
      <c r="B33" s="11">
        <v>10112</v>
      </c>
      <c r="C33" s="42"/>
    </row>
    <row r="34" spans="1:3" ht="14.4" x14ac:dyDescent="0.3">
      <c r="A34" s="7">
        <v>10100</v>
      </c>
      <c r="B34" s="11">
        <v>10114</v>
      </c>
      <c r="C34" s="42"/>
    </row>
    <row r="35" spans="1:3" ht="14.4" x14ac:dyDescent="0.3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Ankit</cp:lastModifiedBy>
  <dcterms:created xsi:type="dcterms:W3CDTF">2015-02-10T17:33:11Z</dcterms:created>
  <dcterms:modified xsi:type="dcterms:W3CDTF">2023-12-10T13:05:33Z</dcterms:modified>
</cp:coreProperties>
</file>